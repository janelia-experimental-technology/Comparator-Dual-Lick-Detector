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P:\ID&amp;F\LICK PORT\ADC\ECAD\"/>
    </mc:Choice>
  </mc:AlternateContent>
  <xr:revisionPtr revIDLastSave="0" documentId="10_ncr:100000_{ACDC8879-3728-4E18-BE0B-9C1BC3B12358}" xr6:coauthVersionLast="31" xr6:coauthVersionMax="31" xr10:uidLastSave="{00000000-0000-0000-0000-000000000000}"/>
  <bookViews>
    <workbookView xWindow="0" yWindow="0" windowWidth="13575" windowHeight="18165" xr2:uid="{00000000-000D-0000-FFFF-FFFF00000000}"/>
  </bookViews>
  <sheets>
    <sheet name="J006330_DualLickCompREVA" sheetId="1" r:id="rId1"/>
  </sheets>
  <definedNames>
    <definedName name="_xlnm.Print_Area" localSheetId="0">J006330_DualLickCompREVA!$A$1:$K$24</definedName>
  </definedNames>
  <calcPr calcId="179017"/>
</workbook>
</file>

<file path=xl/calcChain.xml><?xml version="1.0" encoding="utf-8"?>
<calcChain xmlns="http://schemas.openxmlformats.org/spreadsheetml/2006/main">
  <c r="J18" i="1" l="1"/>
  <c r="J16" i="1" l="1"/>
  <c r="J17" i="1"/>
  <c r="J20" i="1"/>
  <c r="J21" i="1"/>
  <c r="J5" i="1" l="1"/>
  <c r="J6" i="1"/>
  <c r="J7" i="1"/>
  <c r="J8" i="1"/>
  <c r="J9" i="1"/>
  <c r="J10" i="1"/>
  <c r="J11" i="1"/>
  <c r="J12" i="1"/>
  <c r="J13" i="1"/>
  <c r="J14" i="1"/>
  <c r="J15" i="1"/>
  <c r="J4" i="1"/>
  <c r="J24" i="1" l="1"/>
</calcChain>
</file>

<file path=xl/sharedStrings.xml><?xml version="1.0" encoding="utf-8"?>
<sst xmlns="http://schemas.openxmlformats.org/spreadsheetml/2006/main" count="123" uniqueCount="104">
  <si>
    <t>Partlist exported from C:/PROJECTS/ID&amp;F/MODULATED LICK PORT DETECTOR/ADC/ECAD/J006330_DualLickCompREVA.sch at 1/24/2018 9:41 AM</t>
  </si>
  <si>
    <t>Qty</t>
  </si>
  <si>
    <t>Value</t>
  </si>
  <si>
    <t>Device</t>
  </si>
  <si>
    <t xml:space="preserve"> Designators</t>
  </si>
  <si>
    <t xml:space="preserve"> Manufacturer</t>
  </si>
  <si>
    <t xml:space="preserve"> Man PN</t>
  </si>
  <si>
    <t xml:space="preserve"> Vendor</t>
  </si>
  <si>
    <t xml:space="preserve"> Vendor PN</t>
  </si>
  <si>
    <t xml:space="preserve"> $ea</t>
  </si>
  <si>
    <t xml:space="preserve"> $Total</t>
  </si>
  <si>
    <t xml:space="preserve"> Notes</t>
  </si>
  <si>
    <t>CAPS0603S</t>
  </si>
  <si>
    <t>1K</t>
  </si>
  <si>
    <t>4M99</t>
  </si>
  <si>
    <t>10K</t>
  </si>
  <si>
    <t>10K0</t>
  </si>
  <si>
    <t>100K</t>
  </si>
  <si>
    <t>ADUM5202</t>
  </si>
  <si>
    <t>U2</t>
  </si>
  <si>
    <t>MAX9043</t>
  </si>
  <si>
    <t>U1</t>
  </si>
  <si>
    <t>USB</t>
  </si>
  <si>
    <t>CONN BNC JACK R/A 50 OHM PCB</t>
  </si>
  <si>
    <t>BNC</t>
  </si>
  <si>
    <t>Amphenol</t>
  </si>
  <si>
    <t>DK</t>
  </si>
  <si>
    <t>CIM21J252NE</t>
  </si>
  <si>
    <t>Samsung</t>
  </si>
  <si>
    <t>FERRITE BEAD 2.5 KOHM 0805 1LN</t>
  </si>
  <si>
    <t>Ferrite</t>
  </si>
  <si>
    <t>1276-6377-1-ND</t>
  </si>
  <si>
    <t>C0603C104K5RACTU</t>
  </si>
  <si>
    <t>Kemet</t>
  </si>
  <si>
    <t>399-5089-1-ND</t>
  </si>
  <si>
    <t>ADUM5202ARWZ</t>
  </si>
  <si>
    <t>ADI</t>
  </si>
  <si>
    <t>ADUM5202ARWZ-ND</t>
  </si>
  <si>
    <t>DGTL ISO 2.5KV GEN PURP 16SOIC</t>
  </si>
  <si>
    <t>MAX9043BEUB+-ND</t>
  </si>
  <si>
    <t>IC COMPARATOR DUAL 10-UMAX</t>
  </si>
  <si>
    <t>Maxim</t>
  </si>
  <si>
    <t>MAX9043BEUB+</t>
  </si>
  <si>
    <t>CONN USB MICRO B RECPT SMT R/A</t>
  </si>
  <si>
    <t>10118194-0001LF</t>
  </si>
  <si>
    <t>609-4618-1-ND</t>
  </si>
  <si>
    <t>D12/CRCW0805-C 100 10K 1%</t>
  </si>
  <si>
    <t>CRCW080510K0FKEAC</t>
  </si>
  <si>
    <t>Vishay</t>
  </si>
  <si>
    <t>541-3976-1-ND</t>
  </si>
  <si>
    <t>CRCW08051K00FKEAC</t>
  </si>
  <si>
    <t>D12/CRCW0805-C 100 1K0 1%</t>
  </si>
  <si>
    <t>541-3977-1-ND</t>
  </si>
  <si>
    <t>CRCW08054M99FKEA</t>
  </si>
  <si>
    <t>541-4.99MCCT-ND</t>
  </si>
  <si>
    <t>RES SMD 4.99M OHM 1% 1/8W 0805</t>
  </si>
  <si>
    <t>CRCW0805100KFKEAC</t>
  </si>
  <si>
    <t>541-3978-1-ND</t>
  </si>
  <si>
    <t>D12/CRCW0805-C 100 100K 1%</t>
  </si>
  <si>
    <t>Bourns</t>
  </si>
  <si>
    <t>CAP CER 10UF 10V X7R 0805</t>
  </si>
  <si>
    <t>C0805C106M8RACTU</t>
  </si>
  <si>
    <t>399-7413-1-ND</t>
  </si>
  <si>
    <t>3310P-125-103L</t>
  </si>
  <si>
    <t>POT 10K OHM 1/4W PLASTIC LINEAR</t>
  </si>
  <si>
    <t>3310P-125-103L-ND</t>
  </si>
  <si>
    <t>1455D601</t>
  </si>
  <si>
    <t>Hammond</t>
  </si>
  <si>
    <t>HM1358-ND</t>
  </si>
  <si>
    <t>BOX ALUM NATURAL 2.36"L X 1.67"W</t>
  </si>
  <si>
    <t>Enclosure</t>
  </si>
  <si>
    <t>11K5019-JCNB</t>
  </si>
  <si>
    <t>Grayhill</t>
  </si>
  <si>
    <t>GH7660-ND</t>
  </si>
  <si>
    <t>KNOB PLASTIC .125 DIA BLACK</t>
  </si>
  <si>
    <t>Knob</t>
  </si>
  <si>
    <t xml:space="preserve">Oshpark </t>
  </si>
  <si>
    <t>PCB</t>
  </si>
  <si>
    <t>printed circuit board</t>
  </si>
  <si>
    <t>1-1634613-0</t>
  </si>
  <si>
    <t xml:space="preserve">TE </t>
  </si>
  <si>
    <t>A97554-ND</t>
  </si>
  <si>
    <t>LED 5MM VERT HE DIFF GRN PC MNT</t>
  </si>
  <si>
    <t>LED</t>
  </si>
  <si>
    <t>LED1 LED 2</t>
  </si>
  <si>
    <t>Dialight</t>
  </si>
  <si>
    <t>5612201050F</t>
  </si>
  <si>
    <t>350-2814-ND</t>
  </si>
  <si>
    <t>J1 J2 J3 J4</t>
  </si>
  <si>
    <t>L1 L2</t>
  </si>
  <si>
    <t>R1 R8</t>
  </si>
  <si>
    <t>R5</t>
  </si>
  <si>
    <t>J100</t>
  </si>
  <si>
    <t>J006330_DualLickCompREVB</t>
  </si>
  <si>
    <t>C1 C2 C3 C4 C5</t>
  </si>
  <si>
    <t>R3 R6</t>
  </si>
  <si>
    <t>R2 R7</t>
  </si>
  <si>
    <t>C6 C7 C8</t>
  </si>
  <si>
    <t>R4 R9</t>
  </si>
  <si>
    <t>CAP CER 4700PF 50V C0G/NP0 0805</t>
  </si>
  <si>
    <t>C9 C10</t>
  </si>
  <si>
    <t>Murata</t>
  </si>
  <si>
    <t>GRM2165C1H472JA01D</t>
  </si>
  <si>
    <t>490-3044-1-ND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</si>
</sst>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workbookViewId="0">
      <selection activeCell="H32" sqref="H32"/>
    </sheetView>
  </sheetViews>
  <sheetFormatPr defaultRowHeight="15" x14ac:dyDescent="0.25"/>
  <cols>
    <col min="1" max="1" width="4.7109375" customWidth="1"/>
    <col min="2" max="2" width="10.5703125" style="2" customWidth="1"/>
    <col min="3" max="3" width="37.28515625" customWidth="1"/>
    <col min="4" max="4" width="14.140625" customWidth="1"/>
    <col min="5" max="5" width="14.7109375" customWidth="1"/>
    <col min="6" max="6" width="29.140625" customWidth="1"/>
    <col min="7" max="7" width="6.140625" customWidth="1"/>
    <col min="8" max="8" width="20.5703125" customWidth="1"/>
    <col min="9" max="10" width="9.140625" style="1"/>
  </cols>
  <sheetData>
    <row r="1" spans="1:11" x14ac:dyDescent="0.25">
      <c r="A1" t="s">
        <v>0</v>
      </c>
    </row>
    <row r="3" spans="1:11" x14ac:dyDescent="0.25">
      <c r="A3" t="s">
        <v>1</v>
      </c>
      <c r="B3" s="2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s="1" t="s">
        <v>9</v>
      </c>
      <c r="J3" s="1" t="s">
        <v>10</v>
      </c>
      <c r="K3" t="s">
        <v>11</v>
      </c>
    </row>
    <row r="4" spans="1:11" x14ac:dyDescent="0.25">
      <c r="A4">
        <v>4</v>
      </c>
      <c r="B4" s="2" t="s">
        <v>24</v>
      </c>
      <c r="C4" t="s">
        <v>23</v>
      </c>
      <c r="D4" t="s">
        <v>88</v>
      </c>
      <c r="E4" t="s">
        <v>80</v>
      </c>
      <c r="F4" t="s">
        <v>79</v>
      </c>
      <c r="G4" t="s">
        <v>26</v>
      </c>
      <c r="H4" t="s">
        <v>81</v>
      </c>
      <c r="I4" s="1">
        <v>2.9</v>
      </c>
      <c r="J4" s="1">
        <f>I4*A4</f>
        <v>11.6</v>
      </c>
    </row>
    <row r="5" spans="1:11" x14ac:dyDescent="0.25">
      <c r="A5">
        <v>2</v>
      </c>
      <c r="B5" s="2" t="s">
        <v>30</v>
      </c>
      <c r="C5" t="s">
        <v>29</v>
      </c>
      <c r="D5" t="s">
        <v>89</v>
      </c>
      <c r="E5" t="s">
        <v>28</v>
      </c>
      <c r="F5" t="s">
        <v>27</v>
      </c>
      <c r="G5" t="s">
        <v>26</v>
      </c>
      <c r="H5" t="s">
        <v>31</v>
      </c>
      <c r="I5" s="1">
        <v>0.1</v>
      </c>
      <c r="J5" s="1">
        <f t="shared" ref="J5:J21" si="0">I5*A5</f>
        <v>0.2</v>
      </c>
    </row>
    <row r="6" spans="1:11" x14ac:dyDescent="0.25">
      <c r="A6">
        <v>5</v>
      </c>
      <c r="B6" s="2">
        <v>0.1</v>
      </c>
      <c r="C6" t="s">
        <v>12</v>
      </c>
      <c r="D6" t="s">
        <v>94</v>
      </c>
      <c r="E6" t="s">
        <v>33</v>
      </c>
      <c r="F6" t="s">
        <v>32</v>
      </c>
      <c r="G6" t="s">
        <v>26</v>
      </c>
      <c r="H6" t="s">
        <v>34</v>
      </c>
      <c r="I6" s="1">
        <v>0.1</v>
      </c>
      <c r="J6" s="1">
        <f t="shared" si="0"/>
        <v>0.5</v>
      </c>
    </row>
    <row r="7" spans="1:11" x14ac:dyDescent="0.25">
      <c r="A7">
        <v>2</v>
      </c>
      <c r="B7" s="2" t="s">
        <v>13</v>
      </c>
      <c r="C7" t="s">
        <v>51</v>
      </c>
      <c r="D7" t="s">
        <v>90</v>
      </c>
      <c r="E7" t="s">
        <v>48</v>
      </c>
      <c r="F7" t="s">
        <v>50</v>
      </c>
      <c r="G7" t="s">
        <v>26</v>
      </c>
      <c r="H7" t="s">
        <v>52</v>
      </c>
      <c r="I7" s="1">
        <v>0.1</v>
      </c>
      <c r="J7" s="1">
        <f t="shared" si="0"/>
        <v>0.2</v>
      </c>
    </row>
    <row r="8" spans="1:11" x14ac:dyDescent="0.25">
      <c r="A8">
        <v>2</v>
      </c>
      <c r="B8" s="2" t="s">
        <v>14</v>
      </c>
      <c r="C8" t="s">
        <v>55</v>
      </c>
      <c r="D8" t="s">
        <v>98</v>
      </c>
      <c r="E8" t="s">
        <v>48</v>
      </c>
      <c r="F8" t="s">
        <v>53</v>
      </c>
      <c r="G8" t="s">
        <v>26</v>
      </c>
      <c r="H8" t="s">
        <v>54</v>
      </c>
      <c r="I8" s="1">
        <v>0.1</v>
      </c>
      <c r="J8" s="1">
        <f t="shared" si="0"/>
        <v>0.2</v>
      </c>
    </row>
    <row r="9" spans="1:11" x14ac:dyDescent="0.25">
      <c r="A9">
        <v>3</v>
      </c>
      <c r="B9" s="2">
        <v>10</v>
      </c>
      <c r="C9" t="s">
        <v>60</v>
      </c>
      <c r="D9" t="s">
        <v>97</v>
      </c>
      <c r="E9" t="s">
        <v>33</v>
      </c>
      <c r="F9" t="s">
        <v>61</v>
      </c>
      <c r="G9" t="s">
        <v>26</v>
      </c>
      <c r="H9" t="s">
        <v>62</v>
      </c>
      <c r="I9" s="1">
        <v>0.55000000000000004</v>
      </c>
      <c r="J9" s="1">
        <f t="shared" si="0"/>
        <v>1.6500000000000001</v>
      </c>
    </row>
    <row r="10" spans="1:11" x14ac:dyDescent="0.25">
      <c r="A10">
        <v>2</v>
      </c>
      <c r="B10" s="2" t="s">
        <v>15</v>
      </c>
      <c r="C10" t="s">
        <v>64</v>
      </c>
      <c r="D10" t="s">
        <v>95</v>
      </c>
      <c r="E10" t="s">
        <v>59</v>
      </c>
      <c r="F10" t="s">
        <v>63</v>
      </c>
      <c r="G10" t="s">
        <v>26</v>
      </c>
      <c r="H10" t="s">
        <v>65</v>
      </c>
      <c r="I10" s="1">
        <v>2.74</v>
      </c>
      <c r="J10" s="1">
        <f t="shared" si="0"/>
        <v>5.48</v>
      </c>
    </row>
    <row r="11" spans="1:11" x14ac:dyDescent="0.25">
      <c r="A11">
        <v>2</v>
      </c>
      <c r="B11" s="2" t="s">
        <v>16</v>
      </c>
      <c r="C11" t="s">
        <v>46</v>
      </c>
      <c r="D11" t="s">
        <v>96</v>
      </c>
      <c r="E11" t="s">
        <v>48</v>
      </c>
      <c r="F11" t="s">
        <v>47</v>
      </c>
      <c r="G11" t="s">
        <v>26</v>
      </c>
      <c r="H11" t="s">
        <v>49</v>
      </c>
      <c r="I11" s="1">
        <v>0.1</v>
      </c>
      <c r="J11" s="1">
        <f t="shared" si="0"/>
        <v>0.2</v>
      </c>
    </row>
    <row r="12" spans="1:11" x14ac:dyDescent="0.25">
      <c r="A12">
        <v>1</v>
      </c>
      <c r="B12" s="2" t="s">
        <v>17</v>
      </c>
      <c r="C12" t="s">
        <v>58</v>
      </c>
      <c r="D12" t="s">
        <v>91</v>
      </c>
      <c r="E12" t="s">
        <v>48</v>
      </c>
      <c r="F12" t="s">
        <v>56</v>
      </c>
      <c r="G12" t="s">
        <v>26</v>
      </c>
      <c r="H12" t="s">
        <v>57</v>
      </c>
      <c r="I12" s="1">
        <v>0.1</v>
      </c>
      <c r="J12" s="1">
        <f t="shared" si="0"/>
        <v>0.1</v>
      </c>
    </row>
    <row r="13" spans="1:11" x14ac:dyDescent="0.25">
      <c r="A13">
        <v>1</v>
      </c>
      <c r="B13" s="2" t="s">
        <v>18</v>
      </c>
      <c r="C13" t="s">
        <v>38</v>
      </c>
      <c r="D13" t="s">
        <v>19</v>
      </c>
      <c r="E13" t="s">
        <v>36</v>
      </c>
      <c r="F13" t="s">
        <v>35</v>
      </c>
      <c r="G13" t="s">
        <v>26</v>
      </c>
      <c r="H13" t="s">
        <v>37</v>
      </c>
      <c r="I13" s="1">
        <v>10.119999999999999</v>
      </c>
      <c r="J13" s="1">
        <f t="shared" si="0"/>
        <v>10.119999999999999</v>
      </c>
    </row>
    <row r="14" spans="1:11" x14ac:dyDescent="0.25">
      <c r="A14">
        <v>1</v>
      </c>
      <c r="B14" s="2" t="s">
        <v>20</v>
      </c>
      <c r="C14" t="s">
        <v>40</v>
      </c>
      <c r="D14" t="s">
        <v>21</v>
      </c>
      <c r="E14" t="s">
        <v>41</v>
      </c>
      <c r="F14" t="s">
        <v>42</v>
      </c>
      <c r="G14" t="s">
        <v>26</v>
      </c>
      <c r="H14" t="s">
        <v>39</v>
      </c>
      <c r="I14" s="1">
        <v>1.7</v>
      </c>
      <c r="J14" s="1">
        <f t="shared" si="0"/>
        <v>1.7</v>
      </c>
    </row>
    <row r="15" spans="1:11" x14ac:dyDescent="0.25">
      <c r="A15">
        <v>1</v>
      </c>
      <c r="B15" s="2" t="s">
        <v>22</v>
      </c>
      <c r="C15" t="s">
        <v>43</v>
      </c>
      <c r="D15" t="s">
        <v>92</v>
      </c>
      <c r="E15" t="s">
        <v>25</v>
      </c>
      <c r="F15" t="s">
        <v>44</v>
      </c>
      <c r="G15" t="s">
        <v>26</v>
      </c>
      <c r="H15" t="s">
        <v>45</v>
      </c>
      <c r="I15" s="1">
        <v>0.46</v>
      </c>
      <c r="J15" s="1">
        <f t="shared" si="0"/>
        <v>0.46</v>
      </c>
    </row>
    <row r="16" spans="1:11" x14ac:dyDescent="0.25">
      <c r="A16">
        <v>2</v>
      </c>
      <c r="B16" s="2" t="s">
        <v>83</v>
      </c>
      <c r="C16" t="s">
        <v>82</v>
      </c>
      <c r="D16" t="s">
        <v>84</v>
      </c>
      <c r="E16" t="s">
        <v>85</v>
      </c>
      <c r="F16" t="s">
        <v>86</v>
      </c>
      <c r="G16" t="s">
        <v>26</v>
      </c>
      <c r="H16" t="s">
        <v>87</v>
      </c>
      <c r="I16" s="1">
        <v>1.24</v>
      </c>
      <c r="J16" s="1">
        <f t="shared" si="0"/>
        <v>2.48</v>
      </c>
    </row>
    <row r="17" spans="1:10" x14ac:dyDescent="0.25">
      <c r="A17">
        <v>1</v>
      </c>
      <c r="B17" s="2" t="s">
        <v>77</v>
      </c>
      <c r="C17" t="s">
        <v>78</v>
      </c>
      <c r="E17" t="s">
        <v>76</v>
      </c>
      <c r="F17" t="s">
        <v>93</v>
      </c>
      <c r="I17" s="1">
        <v>12</v>
      </c>
      <c r="J17" s="1">
        <f t="shared" si="0"/>
        <v>12</v>
      </c>
    </row>
    <row r="18" spans="1:10" x14ac:dyDescent="0.25">
      <c r="A18">
        <v>2</v>
      </c>
      <c r="B18" s="2">
        <v>0.1</v>
      </c>
      <c r="C18" t="s">
        <v>99</v>
      </c>
      <c r="D18" t="s">
        <v>100</v>
      </c>
      <c r="E18" t="s">
        <v>101</v>
      </c>
      <c r="F18" t="s">
        <v>102</v>
      </c>
      <c r="G18" t="s">
        <v>26</v>
      </c>
      <c r="H18" t="s">
        <v>103</v>
      </c>
      <c r="I18" s="1">
        <v>0.22</v>
      </c>
      <c r="J18" s="1">
        <f t="shared" ref="J18" si="1">I18*A18</f>
        <v>0.44</v>
      </c>
    </row>
    <row r="20" spans="1:10" x14ac:dyDescent="0.25">
      <c r="A20">
        <v>1</v>
      </c>
      <c r="B20" s="2" t="s">
        <v>70</v>
      </c>
      <c r="C20" t="s">
        <v>69</v>
      </c>
      <c r="E20" t="s">
        <v>67</v>
      </c>
      <c r="F20" t="s">
        <v>66</v>
      </c>
      <c r="G20" t="s">
        <v>26</v>
      </c>
      <c r="H20" t="s">
        <v>68</v>
      </c>
      <c r="I20" s="1">
        <v>10.73</v>
      </c>
      <c r="J20" s="1">
        <f t="shared" si="0"/>
        <v>10.73</v>
      </c>
    </row>
    <row r="21" spans="1:10" x14ac:dyDescent="0.25">
      <c r="A21">
        <v>2</v>
      </c>
      <c r="B21" s="2" t="s">
        <v>75</v>
      </c>
      <c r="C21" t="s">
        <v>74</v>
      </c>
      <c r="E21" t="s">
        <v>72</v>
      </c>
      <c r="F21" t="s">
        <v>71</v>
      </c>
      <c r="G21" t="s">
        <v>26</v>
      </c>
      <c r="H21" t="s">
        <v>73</v>
      </c>
      <c r="I21" s="1">
        <v>0.87</v>
      </c>
      <c r="J21" s="1">
        <f t="shared" si="0"/>
        <v>1.74</v>
      </c>
    </row>
    <row r="24" spans="1:10" x14ac:dyDescent="0.25">
      <c r="J24" s="1">
        <f>SUM(J4:J21)</f>
        <v>59.79999999999999</v>
      </c>
    </row>
  </sheetData>
  <printOptions gridLines="1"/>
  <pageMargins left="0.7" right="0.7" top="0.75" bottom="0.75" header="0.3" footer="0.3"/>
  <pageSetup scale="7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J006330_DualLickCompREVA</vt:lpstr>
      <vt:lpstr>J006330_DualLickCompREVA!Print_Area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cp:lastPrinted>2018-02-02T20:02:48Z</cp:lastPrinted>
  <dcterms:created xsi:type="dcterms:W3CDTF">2018-01-24T15:02:45Z</dcterms:created>
  <dcterms:modified xsi:type="dcterms:W3CDTF">2019-08-19T13:23:10Z</dcterms:modified>
</cp:coreProperties>
</file>